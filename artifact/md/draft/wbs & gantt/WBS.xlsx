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d99b9f847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ef25e83888d74801"/>
    <x:sheet xmlns:r="http://schemas.openxmlformats.org/officeDocument/2006/relationships" name="Summary" sheetId="2" r:id="R760c42725e96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08332A"/>
      <x:name val="Carlito"/>
    </x:font>
    <x:font>
      <x:b/>
      <x:sz val="14"/>
      <x:color rgb="08332A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47E1A8"/>
      </x:patternFill>
    </x:fill>
    <x:fill>
      <x:patternFill patternType="solid">
        <x:fgColor rgb="E6FF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31eca314d4f2c" /><Relationship Type="http://schemas.openxmlformats.org/officeDocument/2006/relationships/theme" Target="/xl/theme/theme1.xml" Id="R3a20b61eda214905" /><Relationship Type="http://schemas.openxmlformats.org/officeDocument/2006/relationships/sharedStrings" Target="/xl/sharedStrings.xml" Id="Rd74eb48f83fb472d" /><Relationship Type="http://schemas.openxmlformats.org/officeDocument/2006/relationships/worksheet" Target="/xl/worksheets/sheet1.xml" Id="Ref25e83888d74801" /><Relationship Type="http://schemas.openxmlformats.org/officeDocument/2006/relationships/worksheet" Target="/xl/worksheets/sheet2.xml" Id="R760c42725e964141" /></Relationships>
</file>

<file path=xl/tables/table1.xml><?xml version="1.0" encoding="utf-8"?>
<x:table xmlns:x="http://schemas.openxmlformats.org/spreadsheetml/2006/main" id="1" name="WBSTable" displayName="WBSTable" ref="A1:K25" headerRowCount="1">
  <x:tableColumns count="11">
    <x:tableColumn id="1" name="WBS ID"/>
    <x:tableColumn id="2" name="단계"/>
    <x:tableColumn id="3" name="작업명"/>
    <x:tableColumn id="4" name="담당"/>
    <x:tableColumn id="5" name="시작일"/>
    <x:tableColumn id="6" name="종료일"/>
    <x:tableColumn id="7" name="기간(일)"/>
    <x:tableColumn id="8" name="우선순위"/>
    <x:tableColumn id="9" name="상태"/>
    <x:tableColumn id="10" name="선행작업"/>
    <x:tableColumn id="11" name="산출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ec7fad31d144d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32" hidden="0" customWidth="1"/>
    <x:col min="4" max="4" width="12" hidden="0" customWidth="1"/>
    <x:col min="5" max="5" width="12" hidden="0" customWidth="1"/>
    <x:col min="6" max="6" width="12" hidden="0" customWidth="1"/>
    <x:col min="7" max="7" width="9" hidden="0" customWidth="1"/>
    <x:col min="8" max="8" width="12" hidden="0" customWidth="1"/>
    <x:col min="9" max="9" width="12" hidden="0" customWidth="1"/>
    <x:col min="10" max="10" width="16" hidden="0" customWidth="1"/>
    <x:col min="11" max="11" width="24" hidden="0" customWidth="1"/>
  </x:cols>
  <x:sheetData>
    <x:row r="1">
      <x:c r="A1" s="6" t="str">
        <x:v>WBS ID</x:v>
      </x:c>
      <x:c r="B1" s="6" t="str">
        <x:v>단계</x:v>
      </x:c>
      <x:c r="C1" s="6" t="str">
        <x:v>작업명</x:v>
      </x:c>
      <x:c r="D1" s="6" t="str">
        <x:v>담당</x:v>
      </x:c>
      <x:c r="E1" s="6" t="str">
        <x:v>시작일</x:v>
      </x:c>
      <x:c r="F1" s="6" t="str">
        <x:v>종료일</x:v>
      </x:c>
      <x:c r="G1" s="6" t="str">
        <x:v>기간(일)</x:v>
      </x:c>
      <x:c r="H1" s="6" t="str">
        <x:v>우선순위</x:v>
      </x:c>
      <x:c r="I1" s="6" t="str">
        <x:v>상태</x:v>
      </x:c>
      <x:c r="J1" s="6" t="str">
        <x:v>선행작업</x:v>
      </x:c>
      <x:c r="K1" s="6" t="str">
        <x:v>산출물</x:v>
      </x:c>
    </x:row>
    <x:row r="2">
      <x:c r="A2" s="12" t="str">
        <x:v>1</x:v>
      </x:c>
      <x:c r="B2" s="12" t="str">
        <x:v>기획</x:v>
      </x:c>
      <x:c r="C2" s="12" t="str">
        <x:v>서비스 목적/범위 확정</x:v>
      </x:c>
      <x:c r="D2" s="12" t="str">
        <x:v>PM</x:v>
      </x:c>
      <x:c r="E2" s="14" t="str">
        <x:v>2026-05-18</x:v>
      </x:c>
      <x:c r="F2" s="14" t="str">
        <x:v>2026-05-19</x:v>
      </x:c>
      <x:c r="G2" s="12" t="n">
        <x:v>2</x:v>
      </x:c>
      <x:c r="H2" s="12" t="str">
        <x:v>높음</x:v>
      </x:c>
      <x:c r="I2" s="12" t="str">
        <x:v>완료예정</x:v>
      </x:c>
      <x:c r="J2" s="12" t="str"/>
      <x:c r="K2" s="12" t="str">
        <x:v>기획서 요약</x:v>
      </x:c>
    </x:row>
    <x:row r="3">
      <x:c r="A3" s="12" t="str">
        <x:v>1.1</x:v>
      </x:c>
      <x:c r="B3" s="12" t="str">
        <x:v>기획</x:v>
      </x:c>
      <x:c r="C3" s="12" t="str">
        <x:v>요구사항 정의</x:v>
      </x:c>
      <x:c r="D3" s="12" t="str">
        <x:v>PM/BE/FE</x:v>
      </x:c>
      <x:c r="E3" s="14" t="str">
        <x:v>2026-05-18</x:v>
      </x:c>
      <x:c r="F3" s="14" t="str">
        <x:v>2026-05-20</x:v>
      </x:c>
      <x:c r="G3" s="12" t="n">
        <x:v>3</x:v>
      </x:c>
      <x:c r="H3" s="12" t="str">
        <x:v>높음</x:v>
      </x:c>
      <x:c r="I3" s="12" t="str">
        <x:v>진행 전</x:v>
      </x:c>
      <x:c r="J3" s="12" t="str">
        <x:v>1</x:v>
      </x:c>
      <x:c r="K3" s="12" t="str">
        <x:v>기능 요구사항 목록</x:v>
      </x:c>
    </x:row>
    <x:row r="4">
      <x:c r="A4" s="12" t="str">
        <x:v>1.2</x:v>
      </x:c>
      <x:c r="B4" s="12" t="str">
        <x:v>기획</x:v>
      </x:c>
      <x:c r="C4" s="12" t="str">
        <x:v>MVP 범위 확정</x:v>
      </x:c>
      <x:c r="D4" s="12" t="str">
        <x:v>PM</x:v>
      </x:c>
      <x:c r="E4" s="14" t="str">
        <x:v>2026-05-20</x:v>
      </x:c>
      <x:c r="F4" s="14" t="str">
        <x:v>2026-05-21</x:v>
      </x:c>
      <x:c r="G4" s="12" t="n">
        <x:v>2</x:v>
      </x:c>
      <x:c r="H4" s="12" t="str">
        <x:v>높음</x:v>
      </x:c>
      <x:c r="I4" s="12" t="str">
        <x:v>진행 전</x:v>
      </x:c>
      <x:c r="J4" s="12" t="str">
        <x:v>1.1</x:v>
      </x:c>
      <x:c r="K4" s="12" t="str">
        <x:v>MVP 정의</x:v>
      </x:c>
    </x:row>
    <x:row r="5">
      <x:c r="A5" s="12" t="str">
        <x:v>2</x:v>
      </x:c>
      <x:c r="B5" s="12" t="str">
        <x:v>설계</x:v>
      </x:c>
      <x:c r="C5" s="12" t="str">
        <x:v>정보구조/화면 흐름 설계</x:v>
      </x:c>
      <x:c r="D5" s="12" t="str">
        <x:v>FE</x:v>
      </x:c>
      <x:c r="E5" s="14" t="str">
        <x:v>2026-05-21</x:v>
      </x:c>
      <x:c r="F5" s="14" t="str">
        <x:v>2026-05-25</x:v>
      </x:c>
      <x:c r="G5" s="12" t="n">
        <x:v>5</x:v>
      </x:c>
      <x:c r="H5" s="12" t="str">
        <x:v>높음</x:v>
      </x:c>
      <x:c r="I5" s="12" t="str">
        <x:v>진행 전</x:v>
      </x:c>
      <x:c r="J5" s="12" t="str">
        <x:v>1.2</x:v>
      </x:c>
      <x:c r="K5" s="12" t="str">
        <x:v>화면 설계 PDF</x:v>
      </x:c>
    </x:row>
    <x:row r="6">
      <x:c r="A6" s="12" t="str">
        <x:v>2.1</x:v>
      </x:c>
      <x:c r="B6" s="12" t="str">
        <x:v>설계</x:v>
      </x:c>
      <x:c r="C6" s="12" t="str">
        <x:v>유스케이스 다이어그램 작성</x:v>
      </x:c>
      <x:c r="D6" s="12" t="str">
        <x:v>PM</x:v>
      </x:c>
      <x:c r="E6" s="14" t="str">
        <x:v>2026-05-21</x:v>
      </x:c>
      <x:c r="F6" s="14" t="str">
        <x:v>2026-05-22</x:v>
      </x:c>
      <x:c r="G6" s="12" t="n">
        <x:v>2</x:v>
      </x:c>
      <x:c r="H6" s="12" t="str">
        <x:v>중간</x:v>
      </x:c>
      <x:c r="I6" s="12" t="str">
        <x:v>진행 전</x:v>
      </x:c>
      <x:c r="J6" s="12" t="str">
        <x:v>1.2</x:v>
      </x:c>
      <x:c r="K6" s="12" t="str">
        <x:v>Usecase Diagram</x:v>
      </x:c>
    </x:row>
    <x:row r="7">
      <x:c r="A7" s="12" t="str">
        <x:v>2.2</x:v>
      </x:c>
      <x:c r="B7" s="12" t="str">
        <x:v>설계</x:v>
      </x:c>
      <x:c r="C7" s="12" t="str">
        <x:v>DB ERD 및 도메인 모델 설계</x:v>
      </x:c>
      <x:c r="D7" s="12" t="str">
        <x:v>BE</x:v>
      </x:c>
      <x:c r="E7" s="14" t="str">
        <x:v>2026-05-22</x:v>
      </x:c>
      <x:c r="F7" s="14" t="str">
        <x:v>2026-05-26</x:v>
      </x:c>
      <x:c r="G7" s="12" t="n">
        <x:v>5</x:v>
      </x:c>
      <x:c r="H7" s="12" t="str">
        <x:v>높음</x:v>
      </x:c>
      <x:c r="I7" s="12" t="str">
        <x:v>진행 전</x:v>
      </x:c>
      <x:c r="J7" s="12" t="str">
        <x:v>1.2</x:v>
      </x:c>
      <x:c r="K7" s="12" t="str">
        <x:v>ERD/클래스 설계</x:v>
      </x:c>
    </x:row>
    <x:row r="8">
      <x:c r="A8" s="12" t="str">
        <x:v>2.3</x:v>
      </x:c>
      <x:c r="B8" s="12" t="str">
        <x:v>설계</x:v>
      </x:c>
      <x:c r="C8" s="12" t="str">
        <x:v>REST API 명세 작성</x:v>
      </x:c>
      <x:c r="D8" s="12" t="str">
        <x:v>BE/FE</x:v>
      </x:c>
      <x:c r="E8" s="14" t="str">
        <x:v>2026-05-25</x:v>
      </x:c>
      <x:c r="F8" s="14" t="str">
        <x:v>2026-05-27</x:v>
      </x:c>
      <x:c r="G8" s="12" t="n">
        <x:v>3</x:v>
      </x:c>
      <x:c r="H8" s="12" t="str">
        <x:v>높음</x:v>
      </x:c>
      <x:c r="I8" s="12" t="str">
        <x:v>진행 전</x:v>
      </x:c>
      <x:c r="J8" s="12" t="str">
        <x:v>2.2</x:v>
      </x:c>
      <x:c r="K8" s="12" t="str">
        <x:v>API 명세</x:v>
      </x:c>
    </x:row>
    <x:row r="9">
      <x:c r="A9" s="12" t="str">
        <x:v>3</x:v>
      </x:c>
      <x:c r="B9" s="12" t="str">
        <x:v>백엔드</x:v>
      </x:c>
      <x:c r="C9" s="12" t="str">
        <x:v>프로젝트 초기 세팅</x:v>
      </x:c>
      <x:c r="D9" s="12" t="str">
        <x:v>BE</x:v>
      </x:c>
      <x:c r="E9" s="14" t="str">
        <x:v>2026-05-26</x:v>
      </x:c>
      <x:c r="F9" s="14" t="str">
        <x:v>2026-05-27</x:v>
      </x:c>
      <x:c r="G9" s="12" t="n">
        <x:v>2</x:v>
      </x:c>
      <x:c r="H9" s="12" t="str">
        <x:v>높음</x:v>
      </x:c>
      <x:c r="I9" s="12" t="str">
        <x:v>진행 전</x:v>
      </x:c>
      <x:c r="J9" s="12" t="str">
        <x:v>2.3</x:v>
      </x:c>
      <x:c r="K9" s="12" t="str">
        <x:v>Spring Boot 프로젝트</x:v>
      </x:c>
    </x:row>
    <x:row r="10">
      <x:c r="A10" s="12" t="str">
        <x:v>3.1</x:v>
      </x:c>
      <x:c r="B10" s="12" t="str">
        <x:v>백엔드</x:v>
      </x:c>
      <x:c r="C10" s="12" t="str">
        <x:v>회원가입/로그인/JWT</x:v>
      </x:c>
      <x:c r="D10" s="12" t="str">
        <x:v>BE</x:v>
      </x:c>
      <x:c r="E10" s="14" t="str">
        <x:v>2026-05-27</x:v>
      </x:c>
      <x:c r="F10" s="14" t="str">
        <x:v>2026-05-29</x:v>
      </x:c>
      <x:c r="G10" s="12" t="n">
        <x:v>3</x:v>
      </x:c>
      <x:c r="H10" s="12" t="str">
        <x:v>높음</x:v>
      </x:c>
      <x:c r="I10" s="12" t="str">
        <x:v>진행 전</x:v>
      </x:c>
      <x:c r="J10" s="12" t="str">
        <x:v>3</x:v>
      </x:c>
      <x:c r="K10" s="12" t="str">
        <x:v>Auth API</x:v>
      </x:c>
    </x:row>
    <x:row r="11">
      <x:c r="A11" s="12" t="str">
        <x:v>3.2</x:v>
      </x:c>
      <x:c r="B11" s="12" t="str">
        <x:v>백엔드</x:v>
      </x:c>
      <x:c r="C11" s="12" t="str">
        <x:v>사용자 선호 조건 API</x:v>
      </x:c>
      <x:c r="D11" s="12" t="str">
        <x:v>BE</x:v>
      </x:c>
      <x:c r="E11" s="14" t="str">
        <x:v>2026-05-29</x:v>
      </x:c>
      <x:c r="F11" s="14" t="str">
        <x:v>2026-06-01</x:v>
      </x:c>
      <x:c r="G11" s="12" t="n">
        <x:v>4</x:v>
      </x:c>
      <x:c r="H11" s="12" t="str">
        <x:v>중간</x:v>
      </x:c>
      <x:c r="I11" s="12" t="str">
        <x:v>진행 전</x:v>
      </x:c>
      <x:c r="J11" s="12" t="str">
        <x:v>3.1</x:v>
      </x:c>
      <x:c r="K11" s="12" t="str">
        <x:v>Preference API</x:v>
      </x:c>
    </x:row>
    <x:row r="12">
      <x:c r="A12" s="12" t="str">
        <x:v>3.3</x:v>
      </x:c>
      <x:c r="B12" s="12" t="str">
        <x:v>백엔드</x:v>
      </x:c>
      <x:c r="C12" s="12" t="str">
        <x:v>매물/실거래가 조회 API</x:v>
      </x:c>
      <x:c r="D12" s="12" t="str">
        <x:v>BE</x:v>
      </x:c>
      <x:c r="E12" s="14" t="str">
        <x:v>2026-06-01</x:v>
      </x:c>
      <x:c r="F12" s="14" t="str">
        <x:v>2026-06-04</x:v>
      </x:c>
      <x:c r="G12" s="12" t="n">
        <x:v>4</x:v>
      </x:c>
      <x:c r="H12" s="12" t="str">
        <x:v>높음</x:v>
      </x:c>
      <x:c r="I12" s="12" t="str">
        <x:v>진행 전</x:v>
      </x:c>
      <x:c r="J12" s="12" t="str">
        <x:v>3.2</x:v>
      </x:c>
      <x:c r="K12" s="12" t="str">
        <x:v>Property API</x:v>
      </x:c>
    </x:row>
    <x:row r="13">
      <x:c r="A13" s="12" t="str">
        <x:v>3.4</x:v>
      </x:c>
      <x:c r="B13" s="12" t="str">
        <x:v>백엔드</x:v>
      </x:c>
      <x:c r="C13" s="12" t="str">
        <x:v>생활안전 시설 API 연동</x:v>
      </x:c>
      <x:c r="D13" s="12" t="str">
        <x:v>BE</x:v>
      </x:c>
      <x:c r="E13" s="14" t="str">
        <x:v>2026-06-03</x:v>
      </x:c>
      <x:c r="F13" s="14" t="str">
        <x:v>2026-06-06</x:v>
      </x:c>
      <x:c r="G13" s="12" t="n">
        <x:v>4</x:v>
      </x:c>
      <x:c r="H13" s="12" t="str">
        <x:v>높음</x:v>
      </x:c>
      <x:c r="I13" s="12" t="str">
        <x:v>진행 전</x:v>
      </x:c>
      <x:c r="J13" s="12" t="str">
        <x:v>3.3</x:v>
      </x:c>
      <x:c r="K13" s="12" t="str">
        <x:v>Safety API</x:v>
      </x:c>
    </x:row>
    <x:row r="14">
      <x:c r="A14" s="12" t="str">
        <x:v>3.5</x:v>
      </x:c>
      <x:c r="B14" s="12" t="str">
        <x:v>백엔드</x:v>
      </x:c>
      <x:c r="C14" s="12" t="str">
        <x:v>커뮤니티 게시글 CRUD</x:v>
      </x:c>
      <x:c r="D14" s="12" t="str">
        <x:v>BE</x:v>
      </x:c>
      <x:c r="E14" s="14" t="str">
        <x:v>2026-06-05</x:v>
      </x:c>
      <x:c r="F14" s="14" t="str">
        <x:v>2026-06-08</x:v>
      </x:c>
      <x:c r="G14" s="12" t="n">
        <x:v>4</x:v>
      </x:c>
      <x:c r="H14" s="12" t="str">
        <x:v>중간</x:v>
      </x:c>
      <x:c r="I14" s="12" t="str">
        <x:v>진행 전</x:v>
      </x:c>
      <x:c r="J14" s="12" t="str">
        <x:v>3.1</x:v>
      </x:c>
      <x:c r="K14" s="12" t="str">
        <x:v>Community API</x:v>
      </x:c>
    </x:row>
    <x:row r="15">
      <x:c r="A15" s="12" t="str">
        <x:v>3.6</x:v>
      </x:c>
      <x:c r="B15" s="12" t="str">
        <x:v>백엔드</x:v>
      </x:c>
      <x:c r="C15" s="12" t="str">
        <x:v>추천 점수 산정 로직</x:v>
      </x:c>
      <x:c r="D15" s="12" t="str">
        <x:v>BE/AI</x:v>
      </x:c>
      <x:c r="E15" s="14" t="str">
        <x:v>2026-06-08</x:v>
      </x:c>
      <x:c r="F15" s="14" t="str">
        <x:v>2026-06-10</x:v>
      </x:c>
      <x:c r="G15" s="12" t="n">
        <x:v>3</x:v>
      </x:c>
      <x:c r="H15" s="12" t="str">
        <x:v>중간</x:v>
      </x:c>
      <x:c r="I15" s="12" t="str">
        <x:v>진행 전</x:v>
      </x:c>
      <x:c r="J15" s="12" t="str">
        <x:v>3.3,3.4</x:v>
      </x:c>
      <x:c r="K15" s="12" t="str">
        <x:v>Recommendation API</x:v>
      </x:c>
    </x:row>
    <x:row r="16">
      <x:c r="A16" s="12" t="str">
        <x:v>4</x:v>
      </x:c>
      <x:c r="B16" s="12" t="str">
        <x:v>프론트엔드</x:v>
      </x:c>
      <x:c r="C16" s="12" t="str">
        <x:v>프로젝트 초기 세팅</x:v>
      </x:c>
      <x:c r="D16" s="12" t="str">
        <x:v>FE</x:v>
      </x:c>
      <x:c r="E16" s="14" t="str">
        <x:v>2026-05-26</x:v>
      </x:c>
      <x:c r="F16" s="14" t="str">
        <x:v>2026-05-27</x:v>
      </x:c>
      <x:c r="G16" s="12" t="n">
        <x:v>2</x:v>
      </x:c>
      <x:c r="H16" s="12" t="str">
        <x:v>높음</x:v>
      </x:c>
      <x:c r="I16" s="12" t="str">
        <x:v>진행 전</x:v>
      </x:c>
      <x:c r="J16" s="12" t="str">
        <x:v>2</x:v>
      </x:c>
      <x:c r="K16" s="12" t="str">
        <x:v>React 프로젝트</x:v>
      </x:c>
    </x:row>
    <x:row r="17">
      <x:c r="A17" s="12" t="str">
        <x:v>4.1</x:v>
      </x:c>
      <x:c r="B17" s="12" t="str">
        <x:v>프론트엔드</x:v>
      </x:c>
      <x:c r="C17" s="12" t="str">
        <x:v>로그인/회원가입 화면</x:v>
      </x:c>
      <x:c r="D17" s="12" t="str">
        <x:v>FE</x:v>
      </x:c>
      <x:c r="E17" s="14" t="str">
        <x:v>2026-05-27</x:v>
      </x:c>
      <x:c r="F17" s="14" t="str">
        <x:v>2026-05-29</x:v>
      </x:c>
      <x:c r="G17" s="12" t="n">
        <x:v>3</x:v>
      </x:c>
      <x:c r="H17" s="12" t="str">
        <x:v>중간</x:v>
      </x:c>
      <x:c r="I17" s="12" t="str">
        <x:v>진행 전</x:v>
      </x:c>
      <x:c r="J17" s="12" t="str">
        <x:v>4</x:v>
      </x:c>
      <x:c r="K17" s="12" t="str">
        <x:v>Auth 화면</x:v>
      </x:c>
    </x:row>
    <x:row r="18">
      <x:c r="A18" s="12" t="str">
        <x:v>4.2</x:v>
      </x:c>
      <x:c r="B18" s="12" t="str">
        <x:v>프론트엔드</x:v>
      </x:c>
      <x:c r="C18" s="12" t="str">
        <x:v>지도 기반 매물 탐색 화면</x:v>
      </x:c>
      <x:c r="D18" s="12" t="str">
        <x:v>FE</x:v>
      </x:c>
      <x:c r="E18" s="14" t="str">
        <x:v>2026-05-29</x:v>
      </x:c>
      <x:c r="F18" s="14" t="str">
        <x:v>2026-06-04</x:v>
      </x:c>
      <x:c r="G18" s="12" t="n">
        <x:v>7</x:v>
      </x:c>
      <x:c r="H18" s="12" t="str">
        <x:v>높음</x:v>
      </x:c>
      <x:c r="I18" s="12" t="str">
        <x:v>진행 전</x:v>
      </x:c>
      <x:c r="J18" s="12" t="str">
        <x:v>4</x:v>
      </x:c>
      <x:c r="K18" s="12" t="str">
        <x:v>지도 화면</x:v>
      </x:c>
    </x:row>
    <x:row r="19">
      <x:c r="A19" s="12" t="str">
        <x:v>4.3</x:v>
      </x:c>
      <x:c r="B19" s="12" t="str">
        <x:v>프론트엔드</x:v>
      </x:c>
      <x:c r="C19" s="12" t="str">
        <x:v>매물 상세/실거래가/안전정보 화면</x:v>
      </x:c>
      <x:c r="D19" s="12" t="str">
        <x:v>FE</x:v>
      </x:c>
      <x:c r="E19" s="14" t="str">
        <x:v>2026-06-04</x:v>
      </x:c>
      <x:c r="F19" s="14" t="str">
        <x:v>2026-06-08</x:v>
      </x:c>
      <x:c r="G19" s="12" t="n">
        <x:v>5</x:v>
      </x:c>
      <x:c r="H19" s="12" t="str">
        <x:v>높음</x:v>
      </x:c>
      <x:c r="I19" s="12" t="str">
        <x:v>진행 전</x:v>
      </x:c>
      <x:c r="J19" s="12" t="str">
        <x:v>4.2</x:v>
      </x:c>
      <x:c r="K19" s="12" t="str">
        <x:v>상세 화면</x:v>
      </x:c>
    </x:row>
    <x:row r="20">
      <x:c r="A20" s="12" t="str">
        <x:v>4.4</x:v>
      </x:c>
      <x:c r="B20" s="12" t="str">
        <x:v>프론트엔드</x:v>
      </x:c>
      <x:c r="C20" s="12" t="str">
        <x:v>찜/비교/추천 화면</x:v>
      </x:c>
      <x:c r="D20" s="12" t="str">
        <x:v>FE</x:v>
      </x:c>
      <x:c r="E20" s="14" t="str">
        <x:v>2026-06-08</x:v>
      </x:c>
      <x:c r="F20" s="14" t="str">
        <x:v>2026-06-10</x:v>
      </x:c>
      <x:c r="G20" s="12" t="n">
        <x:v>3</x:v>
      </x:c>
      <x:c r="H20" s="12" t="str">
        <x:v>중간</x:v>
      </x:c>
      <x:c r="I20" s="12" t="str">
        <x:v>진행 전</x:v>
      </x:c>
      <x:c r="J20" s="12" t="str">
        <x:v>4.3</x:v>
      </x:c>
      <x:c r="K20" s="12" t="str">
        <x:v>추천 화면</x:v>
      </x:c>
    </x:row>
    <x:row r="21">
      <x:c r="A21" s="12" t="str">
        <x:v>4.5</x:v>
      </x:c>
      <x:c r="B21" s="12" t="str">
        <x:v>프론트엔드</x:v>
      </x:c>
      <x:c r="C21" s="12" t="str">
        <x:v>커뮤니티 화면</x:v>
      </x:c>
      <x:c r="D21" s="12" t="str">
        <x:v>FE</x:v>
      </x:c>
      <x:c r="E21" s="14" t="str">
        <x:v>2026-06-08</x:v>
      </x:c>
      <x:c r="F21" s="14" t="str">
        <x:v>2026-06-11</x:v>
      </x:c>
      <x:c r="G21" s="12" t="n">
        <x:v>4</x:v>
      </x:c>
      <x:c r="H21" s="12" t="str">
        <x:v>중간</x:v>
      </x:c>
      <x:c r="I21" s="12" t="str">
        <x:v>진행 전</x:v>
      </x:c>
      <x:c r="J21" s="12" t="str">
        <x:v>4.1</x:v>
      </x:c>
      <x:c r="K21" s="12" t="str">
        <x:v>커뮤니티 화면</x:v>
      </x:c>
    </x:row>
    <x:row r="22">
      <x:c r="A22" s="12" t="str">
        <x:v>5</x:v>
      </x:c>
      <x:c r="B22" s="12" t="str">
        <x:v>통합</x:v>
      </x:c>
      <x:c r="C22" s="12" t="str">
        <x:v>API 연동 및 상태 관리</x:v>
      </x:c>
      <x:c r="D22" s="12" t="str">
        <x:v>BE/FE</x:v>
      </x:c>
      <x:c r="E22" s="14" t="str">
        <x:v>2026-06-10</x:v>
      </x:c>
      <x:c r="F22" s="14" t="str">
        <x:v>2026-06-13</x:v>
      </x:c>
      <x:c r="G22" s="12" t="n">
        <x:v>4</x:v>
      </x:c>
      <x:c r="H22" s="12" t="str">
        <x:v>높음</x:v>
      </x:c>
      <x:c r="I22" s="12" t="str">
        <x:v>진행 전</x:v>
      </x:c>
      <x:c r="J22" s="12" t="str">
        <x:v>3.6,4.5</x:v>
      </x:c>
      <x:c r="K22" s="12" t="str">
        <x:v>통합 화면</x:v>
      </x:c>
    </x:row>
    <x:row r="23">
      <x:c r="A23" s="12" t="str">
        <x:v>5.1</x:v>
      </x:c>
      <x:c r="B23" s="12" t="str">
        <x:v>테스트</x:v>
      </x:c>
      <x:c r="C23" s="12" t="str">
        <x:v>기능 테스트/버그 수정</x:v>
      </x:c>
      <x:c r="D23" s="12" t="str">
        <x:v>QA/ALL</x:v>
      </x:c>
      <x:c r="E23" s="14" t="str">
        <x:v>2026-06-13</x:v>
      </x:c>
      <x:c r="F23" s="14" t="str">
        <x:v>2026-06-17</x:v>
      </x:c>
      <x:c r="G23" s="12" t="n">
        <x:v>5</x:v>
      </x:c>
      <x:c r="H23" s="12" t="str">
        <x:v>높음</x:v>
      </x:c>
      <x:c r="I23" s="12" t="str">
        <x:v>진행 전</x:v>
      </x:c>
      <x:c r="J23" s="12" t="str">
        <x:v>5</x:v>
      </x:c>
      <x:c r="K23" s="12" t="str">
        <x:v>테스트 결과</x:v>
      </x:c>
    </x:row>
    <x:row r="24">
      <x:c r="A24" s="12" t="str">
        <x:v>5.2</x:v>
      </x:c>
      <x:c r="B24" s="12" t="str">
        <x:v>테스트</x:v>
      </x:c>
      <x:c r="C24" s="12" t="str">
        <x:v>시연 데이터 정리</x:v>
      </x:c>
      <x:c r="D24" s="12" t="str">
        <x:v>PM/ALL</x:v>
      </x:c>
      <x:c r="E24" s="14" t="str">
        <x:v>2026-06-16</x:v>
      </x:c>
      <x:c r="F24" s="14" t="str">
        <x:v>2026-06-18</x:v>
      </x:c>
      <x:c r="G24" s="12" t="n">
        <x:v>3</x:v>
      </x:c>
      <x:c r="H24" s="12" t="str">
        <x:v>중간</x:v>
      </x:c>
      <x:c r="I24" s="12" t="str">
        <x:v>진행 전</x:v>
      </x:c>
      <x:c r="J24" s="12" t="str">
        <x:v>5.1</x:v>
      </x:c>
      <x:c r="K24" s="12" t="str">
        <x:v>시연 계정/데이터</x:v>
      </x:c>
    </x:row>
    <x:row r="25">
      <x:c r="A25" s="12" t="str">
        <x:v>6</x:v>
      </x:c>
      <x:c r="B25" s="12" t="str">
        <x:v>배포/발표</x:v>
      </x:c>
      <x:c r="C25" s="12" t="str">
        <x:v>최종 배포 및 README 정리</x:v>
      </x:c>
      <x:c r="D25" s="12" t="str">
        <x:v>ALL</x:v>
      </x:c>
      <x:c r="E25" s="14" t="str">
        <x:v>2026-06-18</x:v>
      </x:c>
      <x:c r="F25" s="14" t="str">
        <x:v>2026-06-19</x:v>
      </x:c>
      <x:c r="G25" s="12" t="n">
        <x:v>2</x:v>
      </x:c>
      <x:c r="H25" s="12" t="str">
        <x:v>높음</x:v>
      </x:c>
      <x:c r="I25" s="12" t="str">
        <x:v>진행 전</x:v>
      </x:c>
      <x:c r="J25" s="12" t="str">
        <x:v>5.2</x:v>
      </x:c>
      <x:c r="K25" s="12" t="str">
        <x:v>최종 산출물</x:v>
      </x:c>
    </x:row>
    <x:row r="26">
      <x:c r="E26" s="15"/>
      <x:c r="F26" s="15"/>
    </x:row>
    <x:row r="27">
      <x:c r="E27" s="15"/>
      <x:c r="F27" s="15"/>
    </x:row>
    <x:row r="28">
      <x:c r="E28" s="15"/>
      <x:c r="F28" s="15"/>
    </x:row>
    <x:row r="29">
      <x:c r="E29" s="15"/>
      <x:c r="F29" s="15"/>
    </x:row>
    <x:row r="30">
      <x:c r="E30" s="15"/>
      <x:c r="F30" s="15"/>
    </x:row>
  </x:sheetData>
  <x:pageMargins left="0.7" right="0.7" top="0.75" bottom="0.75" header="0.3" footer="0.3"/>
  <x:tableParts count="1">
    <x:tablePart xmlns:r="http://schemas.openxmlformats.org/officeDocument/2006/relationships" r:id="Rb4ec7fad31d144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9" t="str">
        <x:v>살만해 WBS 요약</x:v>
      </x:c>
      <x:c r="B1" t="str"/>
      <x:c r="C1" t="str"/>
      <x:c r="D1" t="str"/>
    </x:row>
    <x:row r="3">
      <x:c r="A3" s="23" t="str">
        <x:v>총 작업 수</x:v>
      </x:c>
      <x:c r="B3" t="n">
        <x:f>COUNTA(WBS!A2:A25)</x:f>
        <x:v>24</x:v>
      </x:c>
    </x:row>
    <x:row r="4">
      <x:c r="A4" s="23" t="str">
        <x:v>전체 시작일</x:v>
      </x:c>
      <x:c r="B4" s="15" t="n">
        <x:f>MIN(WBS!E2:E25)</x:f>
        <x:v>0</x:v>
      </x:c>
    </x:row>
    <x:row r="5">
      <x:c r="A5" s="23" t="str">
        <x:v>전체 종료일</x:v>
      </x:c>
      <x:c r="B5" s="15" t="n">
        <x:f>MAX(WBS!F2:F25)</x:f>
        <x:v>0</x:v>
      </x:c>
    </x:row>
    <x:row r="6">
      <x:c r="A6" s="23" t="str">
        <x:v>총 기간(일)</x:v>
      </x:c>
      <x:c r="B6" t="n">
        <x:f>B3-B2+1</x:f>
        <x:v>25</x:v>
      </x:c>
    </x:row>
    <x:row r="7">
      <x:c r="A7" s="23" t="str">
        <x:v>높음 우선순위 작업</x:v>
      </x:c>
      <x:c r="B7" t="n">
        <x:f>COUNTIF(WBS!H2:H25,"높음")</x:f>
        <x:v>16</x:v>
      </x:c>
    </x:row>
    <x:row r="8">
      <x:c r="A8" s="23" t="str">
        <x:v>백엔드 작업 수</x:v>
      </x:c>
      <x:c r="B8" t="n">
        <x:f>COUNTIF(WBS!B2:B25,"백엔드")</x:f>
        <x:v>7</x:v>
      </x:c>
    </x:row>
    <x:row r="9">
      <x:c r="A9" s="23" t="str">
        <x:v>프론트엔드 작업 수</x:v>
      </x:c>
      <x:c r="B9" t="n">
        <x:f>COUNTIF(WBS!B2:B25,"프론트엔드")</x:f>
        <x:v>6</x:v>
      </x:c>
    </x:row>
  </x:sheetData>
  <x:mergeCells>
    <x:mergeCell ref="A1:D1"/>
  </x:mergeCells>
  <x:pageMargins left="0.7" right="0.7" top="0.75" bottom="0.75" header="0.3" footer="0.3"/>
</x:worksheet>
</file>